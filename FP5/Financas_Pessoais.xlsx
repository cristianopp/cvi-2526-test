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<sst xmlns="http://schemas.openxmlformats.org/spreadsheetml/2006/main" count="57" uniqueCount="35">
  <si>
    <t>Data</t>
  </si>
  <si>
    <t>Descrição</t>
  </si>
  <si>
    <t>Movimento</t>
  </si>
  <si>
    <t>Valor</t>
  </si>
  <si>
    <t>Fatura Eletricidade</t>
  </si>
  <si>
    <t>Débito</t>
  </si>
  <si>
    <t>Supermercado Délice</t>
  </si>
  <si>
    <t>Transferência Recibida - João</t>
  </si>
  <si>
    <t>Crédito</t>
  </si>
  <si>
    <t>Cafeteria Central</t>
  </si>
  <si>
    <t>Pagamento de Renda</t>
  </si>
  <si>
    <t>Reembolso Plataforma X</t>
  </si>
  <si>
    <t>Restaurante Solar</t>
  </si>
  <si>
    <t>Salário Mensal</t>
  </si>
  <si>
    <t>Compra Online - Livraria</t>
  </si>
  <si>
    <t>Subscrição Streaming</t>
  </si>
  <si>
    <t>Transferência Recebida - Maria</t>
  </si>
  <si>
    <t>Gasolina - Posto Norte</t>
  </si>
  <si>
    <t>Farmácia Saúde</t>
  </si>
  <si>
    <t>Devolução Compra Online</t>
  </si>
  <si>
    <t>Padaria Trigo Doce</t>
  </si>
  <si>
    <t>Pagamento Academia</t>
  </si>
  <si>
    <t>Transferência Recebida - Cliente A</t>
  </si>
  <si>
    <t>Restaurante da Praça</t>
  </si>
  <si>
    <t>Serviço de Táxi</t>
  </si>
  <si>
    <t>Reembolso Seguro</t>
  </si>
  <si>
    <t>Bar</t>
  </si>
  <si>
    <t>Vencimento</t>
  </si>
  <si>
    <t>Sumário</t>
  </si>
  <si>
    <t>TOTAL DE RECEBIMENTOS</t>
  </si>
  <si>
    <t>TOTAL DE DESPESAS</t>
  </si>
  <si>
    <t>SALDO</t>
  </si>
  <si>
    <t>Detalhe Mensal</t>
  </si>
  <si>
    <t>SELECIONE MÊS</t>
  </si>
  <si>
    <t>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</si>
</sst>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#,##0.00&quot;€&quot;"/>
    <numFmt numFmtId="166" formatCode="#,##0.00\ [$€-1]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666666"/>
      <name val="Comfortaa"/>
    </font>
    <font>
      <color rgb="FF3C78D8"/>
      <name val="Oswald"/>
    </font>
    <font/>
    <font>
      <sz val="22.0"/>
      <color rgb="FF666666"/>
      <name val="Trebuchet MS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Fill="1" applyFont="1"/>
    <xf borderId="0" fillId="2" fontId="2" numFmtId="0" xfId="0" applyAlignment="1" applyFont="1">
      <alignment horizontal="left" readingOrder="0"/>
    </xf>
    <xf borderId="1" fillId="2" fontId="3" numFmtId="0" xfId="0" applyAlignment="1" applyBorder="1" applyFont="1">
      <alignment readingOrder="0"/>
    </xf>
    <xf borderId="1" fillId="0" fontId="4" numFmtId="0" xfId="0" applyBorder="1" applyFont="1"/>
    <xf borderId="0" fillId="2" fontId="5" numFmtId="166" xfId="0" applyAlignment="1" applyFont="1" applyNumberFormat="1">
      <alignment horizontal="left" readingOrder="0" vertical="top"/>
    </xf>
    <xf borderId="0" fillId="2" fontId="1" numFmtId="0" xfId="0" applyAlignment="1" applyFont="1">
      <alignment readingOrder="0"/>
    </xf>
    <xf borderId="0" fillId="0" fontId="6" numFmtId="0" xfId="0" applyFont="1"/>
    <xf borderId="0" fillId="0" fontId="6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C9DAF8"/>
              </a:solidFill>
            </c:spPr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Dashboard!$B$4:$B$7</c:f>
            </c:strRef>
          </c:cat>
          <c:val>
            <c:numRef>
              <c:f>Dashboard!$B$5:$B$8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57150</xdr:rowOff>
    </xdr:from>
    <xdr:ext cx="5362575" cy="3324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19</xdr:row>
      <xdr:rowOff>57150</xdr:rowOff>
    </xdr:from>
    <xdr:ext cx="7105650" cy="1619250"/>
    <xdr:pic>
      <xdr:nvPicPr>
        <xdr:cNvPr id="124342643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57" displayName="Tabela1" name="Tabela1" id="1">
  <tableColumns count="4">
    <tableColumn name="Data" id="1"/>
    <tableColumn name="Descrição" id="2"/>
    <tableColumn name="Movimento" id="3"/>
    <tableColumn name="Valor" id="4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63"/>
    <col customWidth="1" min="3" max="3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45658.0</v>
      </c>
      <c r="B2" s="3" t="s">
        <v>4</v>
      </c>
      <c r="C2" s="4" t="s">
        <v>5</v>
      </c>
      <c r="D2" s="5">
        <v>65.56</v>
      </c>
    </row>
    <row r="3" ht="22.5" customHeight="1">
      <c r="A3" s="2">
        <v>45660.0</v>
      </c>
      <c r="B3" s="3" t="s">
        <v>6</v>
      </c>
      <c r="C3" s="4" t="s">
        <v>5</v>
      </c>
      <c r="D3" s="5">
        <v>42.75</v>
      </c>
    </row>
    <row r="4" ht="22.5" customHeight="1">
      <c r="A4" s="2">
        <v>45661.0</v>
      </c>
      <c r="B4" s="3" t="s">
        <v>7</v>
      </c>
      <c r="C4" s="4" t="s">
        <v>8</v>
      </c>
      <c r="D4" s="5">
        <v>250.0</v>
      </c>
    </row>
    <row r="5" ht="22.5" customHeight="1">
      <c r="A5" s="2">
        <v>45662.0</v>
      </c>
      <c r="B5" s="3" t="s">
        <v>9</v>
      </c>
      <c r="C5" s="4" t="s">
        <v>5</v>
      </c>
      <c r="D5" s="5">
        <v>3.2</v>
      </c>
    </row>
    <row r="6" ht="22.5" customHeight="1">
      <c r="A6" s="2">
        <v>45664.0</v>
      </c>
      <c r="B6" s="3" t="s">
        <v>10</v>
      </c>
      <c r="C6" s="4" t="s">
        <v>5</v>
      </c>
      <c r="D6" s="5">
        <v>650.0</v>
      </c>
    </row>
    <row r="7" ht="22.5" customHeight="1">
      <c r="A7" s="2">
        <v>45666.0</v>
      </c>
      <c r="B7" s="3" t="s">
        <v>11</v>
      </c>
      <c r="C7" s="4" t="s">
        <v>8</v>
      </c>
      <c r="D7" s="5">
        <v>15.5</v>
      </c>
    </row>
    <row r="8" ht="22.5" customHeight="1">
      <c r="A8" s="2">
        <v>45667.0</v>
      </c>
      <c r="B8" s="3" t="s">
        <v>12</v>
      </c>
      <c r="C8" s="4" t="s">
        <v>5</v>
      </c>
      <c r="D8" s="5">
        <v>27.4</v>
      </c>
    </row>
    <row r="9" ht="22.5" customHeight="1">
      <c r="A9" s="2">
        <v>45700.0</v>
      </c>
      <c r="B9" s="3" t="s">
        <v>13</v>
      </c>
      <c r="C9" s="4" t="s">
        <v>8</v>
      </c>
      <c r="D9" s="5">
        <v>1850.0</v>
      </c>
    </row>
    <row r="10" ht="22.5" customHeight="1">
      <c r="A10" s="2">
        <v>45701.0</v>
      </c>
      <c r="B10" s="3" t="s">
        <v>14</v>
      </c>
      <c r="C10" s="4" t="s">
        <v>5</v>
      </c>
      <c r="D10" s="5">
        <v>18.9</v>
      </c>
    </row>
    <row r="11" ht="22.5" customHeight="1">
      <c r="A11" s="2">
        <v>45702.0</v>
      </c>
      <c r="B11" s="3" t="s">
        <v>15</v>
      </c>
      <c r="C11" s="4" t="s">
        <v>5</v>
      </c>
      <c r="D11" s="5">
        <v>7.99</v>
      </c>
    </row>
    <row r="12" ht="22.5" customHeight="1">
      <c r="A12" s="2">
        <v>45703.0</v>
      </c>
      <c r="B12" s="3" t="s">
        <v>16</v>
      </c>
      <c r="C12" s="4" t="s">
        <v>8</v>
      </c>
      <c r="D12" s="5">
        <v>120.0</v>
      </c>
    </row>
    <row r="13" ht="22.5" customHeight="1">
      <c r="A13" s="2">
        <v>45704.0</v>
      </c>
      <c r="B13" s="3" t="s">
        <v>17</v>
      </c>
      <c r="C13" s="4" t="s">
        <v>5</v>
      </c>
      <c r="D13" s="5">
        <v>55.8</v>
      </c>
    </row>
    <row r="14" ht="22.5" customHeight="1">
      <c r="A14" s="2">
        <v>45705.0</v>
      </c>
      <c r="B14" s="3" t="s">
        <v>18</v>
      </c>
      <c r="C14" s="4" t="s">
        <v>5</v>
      </c>
      <c r="D14" s="5">
        <v>12.6</v>
      </c>
    </row>
    <row r="15" ht="22.5" customHeight="1">
      <c r="A15" s="2">
        <v>45706.0</v>
      </c>
      <c r="B15" s="3" t="s">
        <v>19</v>
      </c>
      <c r="C15" s="4" t="s">
        <v>8</v>
      </c>
      <c r="D15" s="5">
        <v>9.99</v>
      </c>
    </row>
    <row r="16" ht="22.5" customHeight="1">
      <c r="A16" s="2">
        <v>45707.0</v>
      </c>
      <c r="B16" s="3" t="s">
        <v>20</v>
      </c>
      <c r="C16" s="4" t="s">
        <v>5</v>
      </c>
      <c r="D16" s="5">
        <v>4.5</v>
      </c>
    </row>
    <row r="17" ht="22.5" customHeight="1">
      <c r="A17" s="2">
        <v>45738.0</v>
      </c>
      <c r="B17" s="3" t="s">
        <v>6</v>
      </c>
      <c r="C17" s="4" t="s">
        <v>5</v>
      </c>
      <c r="D17" s="5">
        <v>38.1</v>
      </c>
    </row>
    <row r="18" ht="22.5" customHeight="1">
      <c r="A18" s="2">
        <v>45739.0</v>
      </c>
      <c r="B18" s="3" t="s">
        <v>21</v>
      </c>
      <c r="C18" s="4" t="s">
        <v>5</v>
      </c>
      <c r="D18" s="5">
        <v>29.9</v>
      </c>
    </row>
    <row r="19" ht="22.5" customHeight="1">
      <c r="A19" s="2">
        <v>45740.0</v>
      </c>
      <c r="B19" s="3" t="s">
        <v>22</v>
      </c>
      <c r="C19" s="4" t="s">
        <v>8</v>
      </c>
      <c r="D19" s="5">
        <v>300.0</v>
      </c>
    </row>
    <row r="20" ht="22.5" customHeight="1">
      <c r="A20" s="2">
        <v>45741.0</v>
      </c>
      <c r="B20" s="3" t="s">
        <v>23</v>
      </c>
      <c r="C20" s="4" t="s">
        <v>5</v>
      </c>
      <c r="D20" s="5">
        <v>22.3</v>
      </c>
    </row>
    <row r="21" ht="22.5" customHeight="1">
      <c r="A21" s="2">
        <v>45742.0</v>
      </c>
      <c r="B21" s="3" t="s">
        <v>24</v>
      </c>
      <c r="C21" s="4" t="s">
        <v>5</v>
      </c>
      <c r="D21" s="5">
        <v>11.7</v>
      </c>
    </row>
    <row r="22" ht="22.5" customHeight="1">
      <c r="A22" s="2">
        <v>45743.0</v>
      </c>
      <c r="B22" s="3" t="s">
        <v>25</v>
      </c>
      <c r="C22" s="4" t="s">
        <v>8</v>
      </c>
      <c r="D22" s="5">
        <v>45.0</v>
      </c>
    </row>
    <row r="23" ht="22.5" customHeight="1">
      <c r="A23" s="2">
        <v>45985.0</v>
      </c>
      <c r="B23" s="3" t="s">
        <v>26</v>
      </c>
      <c r="C23" s="4" t="s">
        <v>5</v>
      </c>
      <c r="D23" s="5">
        <v>5.0</v>
      </c>
    </row>
    <row r="24" ht="22.5" customHeight="1">
      <c r="A24" s="2">
        <v>45985.0</v>
      </c>
      <c r="B24" s="3" t="s">
        <v>27</v>
      </c>
      <c r="C24" s="4" t="s">
        <v>8</v>
      </c>
      <c r="D24" s="5">
        <v>1000.0</v>
      </c>
    </row>
    <row r="25" ht="22.5" customHeight="1">
      <c r="A25" s="6"/>
      <c r="C25" s="7"/>
      <c r="D25" s="5">
        <v>0.0</v>
      </c>
    </row>
    <row r="26" ht="22.5" customHeight="1">
      <c r="A26" s="6"/>
      <c r="C26" s="7"/>
      <c r="D26" s="5">
        <v>0.0</v>
      </c>
    </row>
    <row r="27" ht="22.5" customHeight="1">
      <c r="A27" s="6"/>
      <c r="C27" s="7"/>
      <c r="D27" s="5">
        <v>0.0</v>
      </c>
    </row>
    <row r="28" ht="22.5" customHeight="1">
      <c r="A28" s="6"/>
      <c r="C28" s="7"/>
      <c r="D28" s="5">
        <v>0.0</v>
      </c>
    </row>
    <row r="29" ht="22.5" customHeight="1">
      <c r="A29" s="6"/>
      <c r="C29" s="7"/>
      <c r="D29" s="5">
        <v>0.0</v>
      </c>
    </row>
    <row r="30" ht="22.5" customHeight="1">
      <c r="A30" s="6"/>
      <c r="C30" s="7"/>
      <c r="D30" s="5">
        <v>0.0</v>
      </c>
    </row>
    <row r="31" ht="22.5" customHeight="1">
      <c r="A31" s="6"/>
      <c r="C31" s="7"/>
      <c r="D31" s="5">
        <v>0.0</v>
      </c>
    </row>
    <row r="32" ht="22.5" customHeight="1">
      <c r="A32" s="6"/>
      <c r="C32" s="7"/>
      <c r="D32" s="5">
        <v>0.0</v>
      </c>
    </row>
    <row r="33" ht="22.5" customHeight="1">
      <c r="A33" s="6"/>
      <c r="C33" s="7"/>
      <c r="D33" s="5">
        <v>0.0</v>
      </c>
    </row>
    <row r="34" ht="22.5" customHeight="1">
      <c r="A34" s="6"/>
      <c r="C34" s="7"/>
      <c r="D34" s="5">
        <v>0.0</v>
      </c>
    </row>
    <row r="35" ht="22.5" customHeight="1">
      <c r="A35" s="6"/>
      <c r="C35" s="7"/>
      <c r="D35" s="5">
        <v>0.0</v>
      </c>
    </row>
    <row r="36" ht="22.5" customHeight="1">
      <c r="A36" s="6"/>
      <c r="C36" s="7"/>
      <c r="D36" s="5">
        <v>0.0</v>
      </c>
    </row>
    <row r="37" ht="22.5" customHeight="1">
      <c r="A37" s="6"/>
      <c r="C37" s="7"/>
      <c r="D37" s="5">
        <v>0.0</v>
      </c>
    </row>
    <row r="38" ht="22.5" customHeight="1">
      <c r="A38" s="6"/>
      <c r="C38" s="7"/>
      <c r="D38" s="5">
        <v>0.0</v>
      </c>
    </row>
    <row r="39" ht="22.5" customHeight="1">
      <c r="A39" s="6"/>
      <c r="C39" s="7"/>
      <c r="D39" s="5">
        <v>0.0</v>
      </c>
    </row>
    <row r="40" ht="22.5" customHeight="1">
      <c r="A40" s="6"/>
      <c r="C40" s="7"/>
      <c r="D40" s="5">
        <v>0.0</v>
      </c>
    </row>
    <row r="41" ht="22.5" customHeight="1">
      <c r="A41" s="6"/>
      <c r="C41" s="7"/>
      <c r="D41" s="5">
        <v>0.0</v>
      </c>
    </row>
    <row r="42" ht="22.5" customHeight="1">
      <c r="A42" s="6"/>
      <c r="C42" s="7"/>
      <c r="D42" s="5">
        <v>0.0</v>
      </c>
    </row>
    <row r="43" ht="22.5" customHeight="1">
      <c r="A43" s="6"/>
      <c r="C43" s="7"/>
      <c r="D43" s="5">
        <v>0.0</v>
      </c>
    </row>
    <row r="44" ht="22.5" customHeight="1">
      <c r="A44" s="6"/>
      <c r="C44" s="7"/>
      <c r="D44" s="5">
        <v>0.0</v>
      </c>
    </row>
    <row r="45" ht="22.5" customHeight="1">
      <c r="A45" s="6"/>
      <c r="C45" s="7"/>
      <c r="D45" s="5">
        <v>0.0</v>
      </c>
    </row>
    <row r="46" ht="22.5" customHeight="1">
      <c r="A46" s="6"/>
      <c r="C46" s="7"/>
      <c r="D46" s="5">
        <v>0.0</v>
      </c>
    </row>
    <row r="47" ht="22.5" customHeight="1">
      <c r="A47" s="6"/>
      <c r="C47" s="7"/>
      <c r="D47" s="5">
        <v>0.0</v>
      </c>
    </row>
    <row r="48" ht="22.5" customHeight="1">
      <c r="A48" s="6"/>
      <c r="C48" s="7"/>
      <c r="D48" s="5">
        <v>0.0</v>
      </c>
    </row>
    <row r="49" ht="22.5" customHeight="1">
      <c r="A49" s="6"/>
      <c r="C49" s="7"/>
      <c r="D49" s="5">
        <v>0.0</v>
      </c>
    </row>
    <row r="50" ht="22.5" customHeight="1">
      <c r="A50" s="6"/>
      <c r="C50" s="7"/>
      <c r="D50" s="5">
        <v>0.0</v>
      </c>
    </row>
    <row r="51" ht="22.5" customHeight="1">
      <c r="A51" s="6"/>
      <c r="C51" s="7"/>
      <c r="D51" s="5">
        <v>0.0</v>
      </c>
    </row>
    <row r="52" ht="22.5" customHeight="1">
      <c r="A52" s="6"/>
      <c r="C52" s="7"/>
      <c r="D52" s="5">
        <v>0.0</v>
      </c>
    </row>
    <row r="53" ht="22.5" customHeight="1">
      <c r="A53" s="6"/>
      <c r="C53" s="7"/>
      <c r="D53" s="5">
        <v>0.0</v>
      </c>
    </row>
    <row r="54" ht="22.5" customHeight="1">
      <c r="A54" s="6"/>
      <c r="C54" s="7"/>
      <c r="D54" s="5">
        <v>0.0</v>
      </c>
    </row>
    <row r="55" ht="22.5" customHeight="1">
      <c r="A55" s="6"/>
      <c r="C55" s="7"/>
      <c r="D55" s="5">
        <v>0.0</v>
      </c>
    </row>
    <row r="56" ht="22.5" customHeight="1">
      <c r="A56" s="6"/>
      <c r="C56" s="7"/>
      <c r="D56" s="5">
        <v>0.0</v>
      </c>
    </row>
    <row r="57" ht="22.5" customHeight="1">
      <c r="A57" s="6"/>
      <c r="C57" s="7"/>
      <c r="D57" s="5">
        <v>0.0</v>
      </c>
    </row>
  </sheetData>
  <dataValidations>
    <dataValidation type="list" allowBlank="1" sqref="C2:C57">
      <formula1>"Débito,Crédito"</formula1>
    </dataValidation>
    <dataValidation type="custom" allowBlank="1" showDropDown="1" sqref="A2:A57">
      <formula1>OR(NOT(ISERROR(DATEVALUE(A2))), AND(ISNUMBER(A2), LEFT(CELL("format", A2))="D"))</formula1>
    </dataValidation>
    <dataValidation type="custom" allowBlank="1" showDropDown="1" sqref="D2:D5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"/>
      <c r="B1" s="8"/>
      <c r="C1" s="8"/>
      <c r="D1" s="8"/>
      <c r="E1" s="8"/>
      <c r="F1" s="8"/>
      <c r="G1" s="8"/>
      <c r="H1" s="8"/>
      <c r="I1" s="8"/>
    </row>
    <row r="2">
      <c r="A2" s="8"/>
      <c r="B2" s="8"/>
      <c r="C2" s="8"/>
      <c r="D2" s="8"/>
      <c r="E2" s="8"/>
      <c r="F2" s="8"/>
      <c r="G2" s="8"/>
      <c r="H2" s="8"/>
      <c r="I2" s="8"/>
    </row>
    <row r="3">
      <c r="A3" s="8"/>
      <c r="B3" s="9" t="s">
        <v>28</v>
      </c>
      <c r="C3" s="8"/>
      <c r="D3" s="8"/>
      <c r="E3" s="8"/>
      <c r="F3" s="8"/>
      <c r="G3" s="8"/>
      <c r="H3" s="8"/>
      <c r="I3" s="8"/>
    </row>
    <row r="4">
      <c r="A4" s="8"/>
      <c r="B4" s="10" t="s">
        <v>29</v>
      </c>
      <c r="C4" s="11"/>
      <c r="D4" s="8"/>
      <c r="E4" s="8"/>
      <c r="F4" s="8"/>
      <c r="G4" s="8"/>
      <c r="H4" s="8"/>
      <c r="I4" s="8"/>
    </row>
    <row r="5">
      <c r="A5" s="8"/>
      <c r="B5" s="12">
        <f>SUMIF(Dados!C2:C1000,"=*crédito*",Dados!D2:D1000)</f>
        <v>3590.49</v>
      </c>
      <c r="D5" s="8"/>
      <c r="E5" s="8"/>
      <c r="F5" s="8"/>
      <c r="G5" s="8"/>
      <c r="H5" s="8"/>
      <c r="I5" s="8"/>
    </row>
    <row r="6" ht="22.5" customHeight="1">
      <c r="A6" s="8"/>
      <c r="D6" s="8"/>
      <c r="E6" s="8"/>
      <c r="F6" s="8"/>
      <c r="G6" s="8"/>
      <c r="H6" s="8"/>
      <c r="I6" s="8"/>
    </row>
    <row r="7">
      <c r="A7" s="8"/>
      <c r="B7" s="10" t="s">
        <v>30</v>
      </c>
      <c r="C7" s="11"/>
      <c r="D7" s="8"/>
      <c r="E7" s="8"/>
      <c r="F7" s="8"/>
      <c r="G7" s="8"/>
      <c r="H7" s="8"/>
      <c r="I7" s="8"/>
    </row>
    <row r="8">
      <c r="A8" s="8"/>
      <c r="B8" s="12">
        <f>SUMIF(Dados!C2:C1000,"=*débito*",Dados!D2:D1000)</f>
        <v>995.7</v>
      </c>
      <c r="D8" s="8"/>
      <c r="E8" s="8"/>
      <c r="F8" s="8"/>
      <c r="G8" s="8"/>
      <c r="H8" s="8"/>
      <c r="I8" s="8"/>
    </row>
    <row r="9" ht="25.5" customHeight="1">
      <c r="A9" s="8"/>
      <c r="D9" s="8"/>
      <c r="E9" s="8"/>
      <c r="F9" s="8"/>
      <c r="G9" s="8"/>
      <c r="H9" s="8"/>
      <c r="I9" s="8"/>
    </row>
    <row r="10">
      <c r="A10" s="8"/>
      <c r="B10" s="10" t="s">
        <v>31</v>
      </c>
      <c r="C10" s="11"/>
      <c r="D10" s="8"/>
      <c r="E10" s="8"/>
      <c r="F10" s="8"/>
      <c r="G10" s="8"/>
      <c r="H10" s="8"/>
      <c r="I10" s="8"/>
    </row>
    <row r="11">
      <c r="A11" s="8"/>
      <c r="B11" s="12">
        <f>B5-B8</f>
        <v>2594.79</v>
      </c>
      <c r="D11" s="8"/>
      <c r="E11" s="8"/>
      <c r="F11" s="8"/>
      <c r="G11" s="8"/>
      <c r="H11" s="8"/>
      <c r="I11" s="8"/>
    </row>
    <row r="12">
      <c r="A12" s="8"/>
      <c r="D12" s="8"/>
      <c r="E12" s="8"/>
      <c r="F12" s="8"/>
      <c r="G12" s="8"/>
      <c r="H12" s="8"/>
      <c r="I12" s="8"/>
    </row>
    <row r="13">
      <c r="A13" s="8"/>
      <c r="B13" s="12"/>
      <c r="C13" s="12"/>
      <c r="D13" s="8"/>
      <c r="E13" s="8"/>
      <c r="F13" s="8"/>
      <c r="G13" s="8"/>
      <c r="H13" s="8"/>
      <c r="I13" s="8"/>
    </row>
    <row r="14">
      <c r="A14" s="8"/>
      <c r="B14" s="8"/>
      <c r="C14" s="8"/>
      <c r="D14" s="8"/>
      <c r="E14" s="8"/>
      <c r="F14" s="8"/>
      <c r="G14" s="8"/>
      <c r="H14" s="8"/>
      <c r="I14" s="8"/>
    </row>
    <row r="15">
      <c r="A15" s="8"/>
      <c r="B15" s="8"/>
      <c r="C15" s="8"/>
      <c r="D15" s="8"/>
      <c r="E15" s="8"/>
      <c r="F15" s="8"/>
      <c r="G15" s="8"/>
      <c r="H15" s="8"/>
      <c r="I15" s="8"/>
    </row>
    <row r="16">
      <c r="A16" s="8"/>
      <c r="B16" s="9" t="s">
        <v>32</v>
      </c>
      <c r="C16" s="8"/>
      <c r="D16" s="8"/>
      <c r="E16" s="8"/>
      <c r="F16" s="8"/>
      <c r="G16" s="8"/>
      <c r="H16" s="8"/>
      <c r="I16" s="8"/>
    </row>
    <row r="17">
      <c r="A17" s="8"/>
      <c r="B17" s="10" t="s">
        <v>33</v>
      </c>
      <c r="C17" s="11"/>
      <c r="D17" s="8"/>
      <c r="E17" s="8"/>
      <c r="F17" s="8"/>
      <c r="G17" s="8"/>
      <c r="H17" s="8"/>
      <c r="I17" s="8"/>
    </row>
    <row r="18">
      <c r="A18" s="8"/>
      <c r="B18" s="13" t="s">
        <v>34</v>
      </c>
      <c r="C18" s="8"/>
      <c r="D18" s="8"/>
      <c r="E18" s="8"/>
      <c r="F18" s="8"/>
      <c r="G18" s="8"/>
      <c r="H18" s="8"/>
      <c r="I18" s="8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8"/>
      <c r="B20" s="8"/>
      <c r="C20" s="8"/>
      <c r="D20" s="8"/>
      <c r="E20" s="8"/>
      <c r="F20" s="8"/>
      <c r="G20" s="8"/>
      <c r="H20" s="8"/>
      <c r="I20" s="8"/>
    </row>
    <row r="21">
      <c r="A21" s="8"/>
      <c r="B21" s="8"/>
      <c r="C21" s="8"/>
      <c r="D21" s="8"/>
      <c r="E21" s="8"/>
      <c r="F21" s="8"/>
      <c r="G21" s="8"/>
      <c r="H21" s="8"/>
      <c r="I21" s="8"/>
    </row>
    <row r="22">
      <c r="A22" s="8"/>
      <c r="B22" s="8"/>
      <c r="C22" s="8"/>
      <c r="D22" s="8"/>
      <c r="E22" s="8"/>
      <c r="F22" s="8"/>
      <c r="G22" s="8"/>
      <c r="H22" s="8"/>
      <c r="I22" s="8"/>
    </row>
    <row r="23">
      <c r="A23" s="8"/>
      <c r="B23" s="8"/>
      <c r="C23" s="8"/>
      <c r="D23" s="8"/>
      <c r="E23" s="8"/>
      <c r="F23" s="8"/>
      <c r="G23" s="8"/>
      <c r="H23" s="8"/>
      <c r="I23" s="8"/>
    </row>
    <row r="24">
      <c r="A24" s="8"/>
      <c r="B24" s="8"/>
      <c r="C24" s="8"/>
      <c r="D24" s="8"/>
      <c r="E24" s="8"/>
      <c r="F24" s="8"/>
      <c r="G24" s="8"/>
      <c r="H24" s="8"/>
      <c r="I24" s="8"/>
    </row>
    <row r="25">
      <c r="A25" s="8"/>
      <c r="B25" s="8"/>
      <c r="C25" s="8"/>
      <c r="D25" s="8"/>
      <c r="E25" s="8"/>
      <c r="F25" s="8"/>
      <c r="G25" s="8"/>
      <c r="H25" s="8"/>
      <c r="I25" s="8"/>
    </row>
    <row r="26">
      <c r="A26" s="8"/>
      <c r="B26" s="8"/>
      <c r="C26" s="8"/>
      <c r="D26" s="8"/>
      <c r="E26" s="8"/>
      <c r="F26" s="8"/>
      <c r="G26" s="8"/>
      <c r="H26" s="8"/>
      <c r="I26" s="8"/>
    </row>
    <row r="27">
      <c r="A27" s="8"/>
      <c r="B27" s="8"/>
      <c r="C27" s="8"/>
      <c r="D27" s="8"/>
      <c r="E27" s="8"/>
      <c r="F27" s="8"/>
      <c r="G27" s="8"/>
      <c r="H27" s="8"/>
      <c r="I27" s="8"/>
    </row>
    <row r="28">
      <c r="A28" s="8"/>
      <c r="B28" s="8"/>
      <c r="C28" s="8"/>
      <c r="D28" s="8"/>
      <c r="E28" s="8"/>
      <c r="F28" s="8"/>
      <c r="G28" s="8"/>
      <c r="H28" s="8"/>
      <c r="I28" s="8"/>
    </row>
    <row r="29">
      <c r="A29" s="8"/>
      <c r="B29" s="8"/>
      <c r="C29" s="8"/>
      <c r="D29" s="8"/>
      <c r="E29" s="8"/>
      <c r="F29" s="8"/>
      <c r="G29" s="8"/>
      <c r="H29" s="8"/>
      <c r="I29" s="8"/>
    </row>
    <row r="30">
      <c r="A30" s="8"/>
      <c r="B30" s="8"/>
      <c r="C30" s="8"/>
      <c r="D30" s="8"/>
      <c r="E30" s="8"/>
      <c r="F30" s="8"/>
      <c r="G30" s="8"/>
      <c r="H30" s="8"/>
      <c r="I30" s="8"/>
    </row>
    <row r="35">
      <c r="C35" s="14">
        <f>mesToNumero2(B18)</f>
        <v>1</v>
      </c>
      <c r="D35" s="14" t="str">
        <f>IFERROR(__xludf.DUMMYFUNCTION("FILTER(Dados!C2:D1000, MONTH(Dados!A2:A1000)=C35)"),"Débito")</f>
        <v>Débito</v>
      </c>
      <c r="E35" s="15">
        <f>IFERROR(__xludf.DUMMYFUNCTION("""COMPUTED_VALUE"""),65.56)</f>
        <v>65.56</v>
      </c>
    </row>
    <row r="36">
      <c r="C36" s="14"/>
      <c r="D36" s="14" t="str">
        <f>IFERROR(__xludf.DUMMYFUNCTION("""COMPUTED_VALUE"""),"Débito")</f>
        <v>Débito</v>
      </c>
      <c r="E36" s="15">
        <f>IFERROR(__xludf.DUMMYFUNCTION("""COMPUTED_VALUE"""),42.75)</f>
        <v>42.75</v>
      </c>
    </row>
    <row r="37">
      <c r="C37" s="14"/>
      <c r="D37" s="14" t="str">
        <f>IFERROR(__xludf.DUMMYFUNCTION("""COMPUTED_VALUE"""),"Crédito")</f>
        <v>Crédito</v>
      </c>
      <c r="E37" s="15">
        <f>IFERROR(__xludf.DUMMYFUNCTION("""COMPUTED_VALUE"""),250.0)</f>
        <v>250</v>
      </c>
    </row>
    <row r="38">
      <c r="C38" s="14"/>
      <c r="D38" s="14" t="str">
        <f>IFERROR(__xludf.DUMMYFUNCTION("""COMPUTED_VALUE"""),"Débito")</f>
        <v>Débito</v>
      </c>
      <c r="E38" s="15">
        <f>IFERROR(__xludf.DUMMYFUNCTION("""COMPUTED_VALUE"""),3.2)</f>
        <v>3.2</v>
      </c>
    </row>
    <row r="39">
      <c r="C39" s="14"/>
      <c r="D39" s="14" t="str">
        <f>IFERROR(__xludf.DUMMYFUNCTION("""COMPUTED_VALUE"""),"Débito")</f>
        <v>Débito</v>
      </c>
      <c r="E39" s="15">
        <f>IFERROR(__xludf.DUMMYFUNCTION("""COMPUTED_VALUE"""),650.0)</f>
        <v>650</v>
      </c>
    </row>
    <row r="40">
      <c r="C40" s="14"/>
      <c r="D40" s="14" t="str">
        <f>IFERROR(__xludf.DUMMYFUNCTION("""COMPUTED_VALUE"""),"Crédito")</f>
        <v>Crédito</v>
      </c>
      <c r="E40" s="15">
        <f>IFERROR(__xludf.DUMMYFUNCTION("""COMPUTED_VALUE"""),15.5)</f>
        <v>15.5</v>
      </c>
    </row>
    <row r="41">
      <c r="C41" s="14"/>
      <c r="D41" s="14" t="str">
        <f>IFERROR(__xludf.DUMMYFUNCTION("""COMPUTED_VALUE"""),"Débito")</f>
        <v>Débito</v>
      </c>
      <c r="E41" s="15">
        <f>IFERROR(__xludf.DUMMYFUNCTION("""COMPUTED_VALUE"""),27.4)</f>
        <v>27.4</v>
      </c>
    </row>
    <row r="42">
      <c r="C42" s="14"/>
      <c r="D42" s="14"/>
      <c r="E42" s="14"/>
    </row>
    <row r="43">
      <c r="C43" s="14"/>
      <c r="D43" s="14"/>
      <c r="E43" s="14"/>
    </row>
    <row r="44">
      <c r="C44" s="14"/>
      <c r="D44" s="14"/>
      <c r="E44" s="14"/>
    </row>
    <row r="45">
      <c r="C45" s="14"/>
      <c r="D45" s="14"/>
      <c r="E45" s="14"/>
    </row>
    <row r="46">
      <c r="C46" s="14"/>
      <c r="D46" s="14"/>
      <c r="E46" s="14"/>
    </row>
    <row r="47">
      <c r="C47" s="14"/>
      <c r="D47" s="14"/>
      <c r="E47" s="14"/>
    </row>
    <row r="48">
      <c r="C48" s="14"/>
      <c r="D48" s="14"/>
      <c r="E48" s="14"/>
    </row>
    <row r="49">
      <c r="C49" s="14"/>
      <c r="D49" s="14"/>
      <c r="E49" s="14"/>
    </row>
    <row r="50">
      <c r="C50" s="14"/>
      <c r="D50" s="14"/>
      <c r="E50" s="14"/>
    </row>
    <row r="51">
      <c r="C51" s="14"/>
      <c r="D51" s="14"/>
      <c r="E51" s="14"/>
    </row>
    <row r="52">
      <c r="C52" s="14"/>
      <c r="D52" s="14"/>
      <c r="E52" s="14"/>
    </row>
    <row r="53">
      <c r="C53" s="14"/>
      <c r="D53" s="14"/>
      <c r="E53" s="14"/>
    </row>
    <row r="54">
      <c r="C54" s="14"/>
      <c r="D54" s="14"/>
      <c r="E54" s="14"/>
    </row>
    <row r="55">
      <c r="C55" s="14"/>
      <c r="D55" s="14"/>
      <c r="E55" s="14"/>
    </row>
    <row r="56">
      <c r="C56" s="14"/>
      <c r="D56" s="14"/>
      <c r="E56" s="14"/>
    </row>
    <row r="57">
      <c r="C57" s="14"/>
      <c r="D57" s="14"/>
      <c r="E57" s="14"/>
    </row>
    <row r="58">
      <c r="C58" s="14"/>
      <c r="D58" s="14"/>
      <c r="E58" s="14"/>
    </row>
    <row r="59">
      <c r="C59" s="14"/>
      <c r="D59" s="14"/>
      <c r="E59" s="14"/>
    </row>
    <row r="60">
      <c r="C60" s="14"/>
      <c r="D60" s="14"/>
      <c r="E60" s="14"/>
    </row>
    <row r="61">
      <c r="C61" s="14"/>
      <c r="D61" s="14"/>
      <c r="E61" s="14"/>
    </row>
    <row r="62">
      <c r="C62" s="14"/>
      <c r="D62" s="14"/>
      <c r="E62" s="14"/>
    </row>
    <row r="63">
      <c r="C63" s="14"/>
      <c r="D63" s="14"/>
      <c r="E63" s="14"/>
    </row>
    <row r="64">
      <c r="C64" s="14"/>
      <c r="D64" s="14"/>
      <c r="E64" s="14"/>
    </row>
    <row r="65">
      <c r="C65" s="14"/>
      <c r="D65" s="14"/>
      <c r="E65" s="14"/>
    </row>
  </sheetData>
  <mergeCells count="7">
    <mergeCell ref="B4:C4"/>
    <mergeCell ref="B5:C6"/>
    <mergeCell ref="B7:C7"/>
    <mergeCell ref="B8:C9"/>
    <mergeCell ref="B10:C10"/>
    <mergeCell ref="B11:C12"/>
    <mergeCell ref="B17:C17"/>
  </mergeCells>
  <dataValidations>
    <dataValidation type="list" allowBlank="1" showErrorMessage="1" sqref="B18">
      <formula1>"janeiro,fevereiro,março,abril,maio,junho,julho,agosto,setembro,outubro,novembro,dezembro"</formula1>
    </dataValidation>
  </dataValidations>
  <drawing r:id="rId1"/>
</worksheet>
</file>